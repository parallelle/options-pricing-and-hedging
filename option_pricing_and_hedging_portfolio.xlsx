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lack-Scholes &amp; Greeks" sheetId="2" state="visible" r:id="rId2"/>
    <sheet xmlns:r="http://schemas.openxmlformats.org/officeDocument/2006/relationships" name="Dynamic Hedging" sheetId="3" state="visible" r:id="rId3"/>
    <sheet xmlns:r="http://schemas.openxmlformats.org/officeDocument/2006/relationships" name="Binomial - American" sheetId="4" state="visible" r:id="rId4"/>
    <sheet xmlns:r="http://schemas.openxmlformats.org/officeDocument/2006/relationships" name="Binomial - European" sheetId="5" state="visible" r:id="rId5"/>
  </sheets>
  <definedNames>
    <definedName name="_xlnm.Print_Area" localSheetId="0">'Overview'!$A$1:$H$26</definedName>
    <definedName name="_xlnm.Print_Area" localSheetId="1">'Black-Scholes &amp; Greeks'!$A$1:$E$34</definedName>
    <definedName name="_xlnm.Print_Area" localSheetId="2">'Dynamic Hedging'!$A$1:$G$57</definedName>
    <definedName name="_xlnm.Print_Area" localSheetId="3">'Binomial - American'!$A$1:$O$35</definedName>
    <definedName name="_xlnm.Print_Area" localSheetId="4">'Binomial - European'!$A$1:$O$35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$0.00;[Red]($0.00);-"/>
    <numFmt numFmtId="165" formatCode="0.00%;[Red](0.00%);-"/>
    <numFmt numFmtId="166" formatCode="0.00;[Red](0.00);-"/>
    <numFmt numFmtId="167" formatCode="0.0000;[Red](0.0000);-"/>
    <numFmt numFmtId="168" formatCode="0;[Red](0);-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66666"/>
      <sz val="12"/>
    </font>
    <font>
      <name val="Arial"/>
      <b val="1"/>
      <color rgb="00FFFFFF"/>
      <sz val="11"/>
    </font>
    <font>
      <name val="Arial"/>
      <b val="1"/>
      <color rgb="0017365D"/>
      <sz val="11"/>
    </font>
    <font>
      <name val="Arial"/>
      <b val="1"/>
      <color rgb="001F4E78"/>
      <sz val="11"/>
    </font>
    <font>
      <name val="Arial"/>
      <i val="1"/>
      <color rgb="00666666"/>
      <sz val="11"/>
    </font>
    <font>
      <name val="Arial"/>
      <b val="1"/>
      <color rgb="0017365D"/>
      <sz val="10"/>
    </font>
    <font>
      <name val="Arial"/>
      <color rgb="00000000"/>
      <sz val="11"/>
    </font>
    <font>
      <name val="Arial"/>
      <color rgb="000000FF"/>
      <sz val="11"/>
    </font>
    <font>
      <name val="Arial"/>
      <color rgb="00666666"/>
      <sz val="11"/>
    </font>
    <font>
      <name val="Arial"/>
      <b val="1"/>
      <color rgb="00000000"/>
      <sz val="11"/>
    </font>
    <font>
      <name val="Arial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left" vertical="center" wrapText="1"/>
    </xf>
    <xf numFmtId="165" fontId="9" fillId="0" borderId="0" applyAlignment="1" pivotButton="0" quotePrefix="0" xfId="0">
      <alignment horizontal="right" vertical="center" wrapText="1"/>
    </xf>
    <xf numFmtId="166" fontId="9" fillId="0" borderId="0" applyAlignment="1" pivotButton="0" quotePrefix="0" xfId="0">
      <alignment horizontal="right" vertical="center" wrapText="1"/>
    </xf>
    <xf numFmtId="166" fontId="8" fillId="0" borderId="0" applyAlignment="1" pivotButton="0" quotePrefix="0" xfId="0">
      <alignment horizontal="right" vertical="center" wrapText="1"/>
    </xf>
    <xf numFmtId="167" fontId="8" fillId="0" borderId="0" applyAlignment="1" pivotButton="0" quotePrefix="0" xfId="0">
      <alignment horizontal="right" vertical="center" wrapText="1"/>
    </xf>
    <xf numFmtId="0" fontId="11" fillId="5" borderId="0" applyAlignment="1" pivotButton="0" quotePrefix="0" xfId="0">
      <alignment horizontal="left" vertical="center" wrapText="1"/>
    </xf>
    <xf numFmtId="164" fontId="8" fillId="5" borderId="0" applyAlignment="1" pivotButton="0" quotePrefix="0" xfId="0">
      <alignment horizontal="right" vertical="center" wrapText="1"/>
    </xf>
    <xf numFmtId="164" fontId="8" fillId="0" borderId="0" applyAlignment="1" pivotButton="0" quotePrefix="0" xfId="0">
      <alignment horizontal="right" vertical="center" wrapText="1"/>
    </xf>
    <xf numFmtId="0" fontId="11" fillId="0" borderId="0" applyAlignment="1" pivotButton="0" quotePrefix="0" xfId="0">
      <alignment horizontal="left" vertical="center" wrapText="1"/>
    </xf>
    <xf numFmtId="168" fontId="9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H26"/>
  <sheetViews>
    <sheetView showGridLines="0" zoomScale="100" workbookViewId="0">
      <selection activeCell="A1" sqref="A1"/>
    </sheetView>
  </sheetViews>
  <sheetFormatPr baseColWidth="8" defaultRowHeight="18"/>
  <cols>
    <col width="24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Option Pricing &amp; Hedging | Portfolio Model</t>
        </is>
      </c>
    </row>
    <row r="2"/>
    <row r="3">
      <c r="A3" s="2" t="inlineStr">
        <is>
          <t>Undergraduate Financial Mathematics — cleaned portfolio presentation</t>
        </is>
      </c>
    </row>
    <row r="4"/>
    <row r="5" ht="20" customHeight="1">
      <c r="A5" s="3" t="inlineStr">
        <is>
          <t>Project Overview</t>
        </is>
      </c>
    </row>
    <row r="6"/>
    <row r="7" ht="30" customHeight="1">
      <c r="A7" s="4" t="inlineStr">
        <is>
          <t>Purpose</t>
        </is>
      </c>
      <c r="B7" s="5" t="inlineStr">
        <is>
          <t>Demonstrate applied derivative pricing, option sensitivities, and dynamic hedging using models built in Excel.</t>
        </is>
      </c>
    </row>
    <row r="8" ht="30" customHeight="1">
      <c r="A8" s="4" t="inlineStr">
        <is>
          <t>Models</t>
        </is>
      </c>
      <c r="B8" s="5" t="inlineStr">
        <is>
          <t>Black-Scholes-Merton, Delta/Gamma/Theta, four-period hedging, and three-period binomial option pricing.</t>
        </is>
      </c>
    </row>
    <row r="9" ht="22" customHeight="1">
      <c r="A9" s="4" t="inlineStr">
        <is>
          <t>Tools</t>
        </is>
      </c>
      <c r="B9" s="5" t="inlineStr">
        <is>
          <t>Microsoft Excel</t>
        </is>
      </c>
    </row>
    <row r="10" ht="30" customHeight="1">
      <c r="A10" s="4" t="inlineStr">
        <is>
          <t>Context</t>
        </is>
      </c>
      <c r="B10" s="5" t="inlineStr">
        <is>
          <t>Original coursework logic retained; presentation streamlined and formulas rewritten for Excel compatibility.</t>
        </is>
      </c>
    </row>
    <row r="11"/>
    <row r="12"/>
    <row r="13" ht="20" customHeight="1">
      <c r="A13" s="3" t="inlineStr">
        <is>
          <t>Workbook Guide</t>
        </is>
      </c>
    </row>
    <row r="14"/>
    <row r="15">
      <c r="A15" s="6" t="inlineStr">
        <is>
          <t>Black-Scholes &amp; Greeks</t>
        </is>
      </c>
      <c r="B15" s="5" t="inlineStr">
        <is>
          <t>European call/put valuation with Delta, Gamma, and Theta at two valuation dates.</t>
        </is>
      </c>
    </row>
    <row r="16">
      <c r="A16" s="6" t="inlineStr">
        <is>
          <t>Dynamic Hedging</t>
        </is>
      </c>
      <c r="B16" s="5" t="inlineStr">
        <is>
          <t>Four-period repricing with unhedged, Delta-hedged, and Gamma-hedged portfolio views.</t>
        </is>
      </c>
    </row>
    <row r="17">
      <c r="A17" s="6" t="inlineStr">
        <is>
          <t>Binomial - American</t>
        </is>
      </c>
      <c r="B17" s="5" t="inlineStr">
        <is>
          <t>Three-period call/put trees with exercise-versus-continuation decisions.</t>
        </is>
      </c>
    </row>
    <row r="18">
      <c r="A18" s="6" t="inlineStr">
        <is>
          <t>Binomial - European</t>
        </is>
      </c>
      <c r="B18" s="5" t="inlineStr">
        <is>
          <t>Three-period call/put trees using risk-neutral valuation.</t>
        </is>
      </c>
    </row>
    <row r="19"/>
    <row r="20"/>
    <row r="21" ht="20" customHeight="1">
      <c r="A21" s="3" t="inlineStr">
        <is>
          <t>Model Conventions</t>
        </is>
      </c>
    </row>
    <row r="22"/>
    <row r="23">
      <c r="A23" s="4" t="inlineStr">
        <is>
          <t>Blue font</t>
        </is>
      </c>
      <c r="B23" s="5" t="inlineStr">
        <is>
          <t>Hardcoded assumptions / scenario inputs</t>
        </is>
      </c>
    </row>
    <row r="24">
      <c r="A24" s="4" t="inlineStr">
        <is>
          <t>Black font</t>
        </is>
      </c>
      <c r="B24" s="5" t="inlineStr">
        <is>
          <t>Formulas and calculated values</t>
        </is>
      </c>
    </row>
    <row r="25">
      <c r="A25" s="4" t="inlineStr">
        <is>
          <t>Green font</t>
        </is>
      </c>
      <c r="B25" s="5" t="inlineStr">
        <is>
          <t>Links to another worksheet (if used)</t>
        </is>
      </c>
    </row>
    <row r="26">
      <c r="A26" s="4" t="inlineStr">
        <is>
          <t>Zeros</t>
        </is>
      </c>
      <c r="B26" s="5" t="inlineStr">
        <is>
          <t>Displayed as “–”; negative values shown in red parentheses</t>
        </is>
      </c>
    </row>
  </sheetData>
  <mergeCells count="17">
    <mergeCell ref="A1:H1"/>
    <mergeCell ref="B8:H8"/>
    <mergeCell ref="A3:H3"/>
    <mergeCell ref="A21:H21"/>
    <mergeCell ref="B17:H17"/>
    <mergeCell ref="B9:H9"/>
    <mergeCell ref="B18:H18"/>
    <mergeCell ref="B26:H26"/>
    <mergeCell ref="B24:H24"/>
    <mergeCell ref="A13:H13"/>
    <mergeCell ref="B16:H16"/>
    <mergeCell ref="B15:H15"/>
    <mergeCell ref="B7:H7"/>
    <mergeCell ref="A5:H5"/>
    <mergeCell ref="B10:H10"/>
    <mergeCell ref="B25:H25"/>
    <mergeCell ref="B23:H23"/>
  </mergeCell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E34"/>
  <sheetViews>
    <sheetView showGridLines="0" zoomScale="95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30" customWidth="1" min="1" max="1"/>
    <col width="17" customWidth="1" min="2" max="2"/>
    <col width="17" customWidth="1" min="3" max="3"/>
    <col width="22" customWidth="1" min="4" max="4"/>
    <col width="3" customWidth="1" min="5" max="5"/>
  </cols>
  <sheetData>
    <row r="1" ht="28" customHeight="1">
      <c r="A1" s="1" t="inlineStr">
        <is>
          <t>Black-Scholes-Merton Pricing &amp; Greeks</t>
        </is>
      </c>
    </row>
    <row r="2">
      <c r="A2" s="7" t="inlineStr">
        <is>
          <t>European option valuation at two points in time</t>
        </is>
      </c>
    </row>
    <row r="3"/>
    <row r="4" ht="20" customHeight="1">
      <c r="A4" s="3" t="inlineStr">
        <is>
          <t>Market Inputs</t>
        </is>
      </c>
    </row>
    <row r="5">
      <c r="A5" s="8" t="inlineStr">
        <is>
          <t>Assumption</t>
        </is>
      </c>
      <c r="B5" s="8" t="inlineStr">
        <is>
          <t>Initial</t>
        </is>
      </c>
      <c r="C5" s="8" t="inlineStr">
        <is>
          <t>After 1 Month</t>
        </is>
      </c>
      <c r="D5" s="8" t="inlineStr">
        <is>
          <t>Units / Note</t>
        </is>
      </c>
    </row>
    <row r="6">
      <c r="A6" s="9" t="inlineStr">
        <is>
          <t>Stock price</t>
        </is>
      </c>
      <c r="B6" s="10" t="n">
        <v>73</v>
      </c>
      <c r="C6" s="10" t="n">
        <v>71</v>
      </c>
      <c r="D6" s="11" t="inlineStr">
        <is>
          <t>$ per share</t>
        </is>
      </c>
    </row>
    <row r="7">
      <c r="A7" s="9" t="inlineStr">
        <is>
          <t>Risk-free rate (continuous)</t>
        </is>
      </c>
      <c r="B7" s="12" t="n">
        <v>0.05</v>
      </c>
      <c r="C7" s="12" t="n">
        <v>0.05</v>
      </c>
      <c r="D7" s="11" t="inlineStr">
        <is>
          <t>annualized</t>
        </is>
      </c>
    </row>
    <row r="8">
      <c r="A8" s="9" t="inlineStr">
        <is>
          <t>Dividend yield (continuous)</t>
        </is>
      </c>
      <c r="B8" s="12" t="n">
        <v>0.02</v>
      </c>
      <c r="C8" s="12" t="n">
        <v>0.02</v>
      </c>
      <c r="D8" s="11" t="inlineStr">
        <is>
          <t>annualized</t>
        </is>
      </c>
    </row>
    <row r="9">
      <c r="A9" s="9" t="inlineStr">
        <is>
          <t>Volatility</t>
        </is>
      </c>
      <c r="B9" s="12" t="n">
        <v>0.3</v>
      </c>
      <c r="C9" s="12" t="n">
        <v>0.3</v>
      </c>
      <c r="D9" s="11" t="inlineStr">
        <is>
          <t>annualized</t>
        </is>
      </c>
    </row>
    <row r="10">
      <c r="A10" s="9" t="inlineStr">
        <is>
          <t>Time to expiration</t>
        </is>
      </c>
      <c r="B10" s="13" t="n">
        <v>1</v>
      </c>
      <c r="C10" s="14">
        <f>B10-(1/12)</f>
        <v/>
      </c>
      <c r="D10" s="11" t="inlineStr">
        <is>
          <t>years</t>
        </is>
      </c>
    </row>
    <row r="11">
      <c r="A11" s="9" t="inlineStr">
        <is>
          <t>Strike price</t>
        </is>
      </c>
      <c r="B11" s="10" t="n">
        <v>75</v>
      </c>
      <c r="C11" s="10" t="n">
        <v>75</v>
      </c>
      <c r="D11" s="11" t="inlineStr">
        <is>
          <t>$ per share</t>
        </is>
      </c>
    </row>
    <row r="12"/>
    <row r="13"/>
    <row r="14" ht="20" customHeight="1">
      <c r="A14" s="3" t="inlineStr">
        <is>
          <t>Derived Parameters</t>
        </is>
      </c>
    </row>
    <row r="15">
      <c r="A15" s="8" t="inlineStr">
        <is>
          <t>Metric</t>
        </is>
      </c>
      <c r="B15" s="8" t="inlineStr">
        <is>
          <t>Initial</t>
        </is>
      </c>
      <c r="C15" s="8" t="inlineStr">
        <is>
          <t>After 1 Month</t>
        </is>
      </c>
    </row>
    <row r="16">
      <c r="A16" s="9" t="inlineStr">
        <is>
          <t>Risk-free discount factor</t>
        </is>
      </c>
      <c r="B16" s="15">
        <f>EXP(-B7*B10)</f>
        <v/>
      </c>
      <c r="C16" s="15">
        <f>EXP(-C7*C10)</f>
        <v/>
      </c>
    </row>
    <row r="17">
      <c r="A17" s="9" t="inlineStr">
        <is>
          <t>Dividend discount factor</t>
        </is>
      </c>
      <c r="B17" s="15">
        <f>EXP(-B8*B10)</f>
        <v/>
      </c>
      <c r="C17" s="15">
        <f>EXP(-C8*C10)</f>
        <v/>
      </c>
    </row>
    <row r="18">
      <c r="A18" s="9" t="inlineStr">
        <is>
          <t>d1</t>
        </is>
      </c>
      <c r="B18" s="15">
        <f>(LN(B6/B11)+(B7-B8+0.5*B9^2)*B10)/(B9*SQRT(B10))</f>
        <v/>
      </c>
      <c r="C18" s="15">
        <f>(LN(C6/C11)+(C7-C8+0.5*C9^2)*C10)/(C9*SQRT(C10))</f>
        <v/>
      </c>
    </row>
    <row r="19">
      <c r="A19" s="9" t="inlineStr">
        <is>
          <t>d2</t>
        </is>
      </c>
      <c r="B19" s="15">
        <f>B18-B9*SQRT(B10)</f>
        <v/>
      </c>
      <c r="C19" s="15">
        <f>C18-C9*SQRT(C10)</f>
        <v/>
      </c>
    </row>
    <row r="20">
      <c r="A20" s="9" t="inlineStr">
        <is>
          <t>N(d1)</t>
        </is>
      </c>
      <c r="B20" s="15">
        <f>NORMSDIST(B18)</f>
        <v/>
      </c>
      <c r="C20" s="15">
        <f>NORMSDIST(C18)</f>
        <v/>
      </c>
    </row>
    <row r="21">
      <c r="A21" s="9" t="inlineStr">
        <is>
          <t>N(d2)</t>
        </is>
      </c>
      <c r="B21" s="15">
        <f>NORMSDIST(B19)</f>
        <v/>
      </c>
      <c r="C21" s="15">
        <f>NORMSDIST(C19)</f>
        <v/>
      </c>
    </row>
    <row r="22">
      <c r="A22" s="9" t="inlineStr">
        <is>
          <t>φ(d1)</t>
        </is>
      </c>
      <c r="B22" s="15">
        <f>EXP(-(B18^2)/2)/SQRT(2*PI())</f>
        <v/>
      </c>
      <c r="C22" s="15">
        <f>EXP(-(C18^2)/2)/SQRT(2*PI())</f>
        <v/>
      </c>
    </row>
    <row r="23"/>
    <row r="24"/>
    <row r="25" ht="20" customHeight="1">
      <c r="A25" s="3" t="inlineStr">
        <is>
          <t>Option Values &amp; Greeks</t>
        </is>
      </c>
    </row>
    <row r="26">
      <c r="A26" s="8" t="inlineStr">
        <is>
          <t>Metric</t>
        </is>
      </c>
      <c r="B26" s="8" t="inlineStr">
        <is>
          <t>Initial</t>
        </is>
      </c>
      <c r="C26" s="8" t="inlineStr">
        <is>
          <t>After 1 Month</t>
        </is>
      </c>
    </row>
    <row r="27">
      <c r="A27" s="16" t="inlineStr">
        <is>
          <t>Call price</t>
        </is>
      </c>
      <c r="B27" s="17">
        <f>B6*B17*B20-B11*B16*B21</f>
        <v/>
      </c>
      <c r="C27" s="17">
        <f>C6*C17*C20-C11*C16*C21</f>
        <v/>
      </c>
    </row>
    <row r="28">
      <c r="A28" s="9" t="inlineStr">
        <is>
          <t>Call Delta</t>
        </is>
      </c>
      <c r="B28" s="15">
        <f>B17*B20</f>
        <v/>
      </c>
      <c r="C28" s="15">
        <f>C17*C20</f>
        <v/>
      </c>
    </row>
    <row r="29">
      <c r="A29" s="9" t="inlineStr">
        <is>
          <t>Gamma</t>
        </is>
      </c>
      <c r="B29" s="15">
        <f>B17*B22/(B6*B9*SQRT(B10))</f>
        <v/>
      </c>
      <c r="C29" s="15">
        <f>C17*C22/(C6*C9*SQRT(C10))</f>
        <v/>
      </c>
    </row>
    <row r="30">
      <c r="A30" s="9" t="inlineStr">
        <is>
          <t>Call Theta (annual)</t>
        </is>
      </c>
      <c r="B30" s="18">
        <f>B7*B27-B7*B6*B28-0.5*(B9*B6)^2*B29</f>
        <v/>
      </c>
      <c r="C30" s="18">
        <f>C7*C27-C7*C6*C28-0.5*(C9*C6)^2*C29</f>
        <v/>
      </c>
    </row>
    <row r="31">
      <c r="A31" s="16" t="inlineStr">
        <is>
          <t>Put price</t>
        </is>
      </c>
      <c r="B31" s="17">
        <f>B11*B16*(1-B21)-B6*B17*(1-B20)</f>
        <v/>
      </c>
      <c r="C31" s="17">
        <f>C11*C16*(1-C21)-C6*C17*(1-C20)</f>
        <v/>
      </c>
    </row>
    <row r="32">
      <c r="A32" s="9" t="inlineStr">
        <is>
          <t>Put Delta</t>
        </is>
      </c>
      <c r="B32" s="15">
        <f>B17*(B20-1)</f>
        <v/>
      </c>
      <c r="C32" s="15">
        <f>C17*(C20-1)</f>
        <v/>
      </c>
    </row>
    <row r="33">
      <c r="A33" s="9" t="inlineStr">
        <is>
          <t>Put Gamma</t>
        </is>
      </c>
      <c r="B33" s="15">
        <f>B29</f>
        <v/>
      </c>
      <c r="C33" s="15">
        <f>C29</f>
        <v/>
      </c>
    </row>
    <row r="34">
      <c r="A34" s="9" t="inlineStr">
        <is>
          <t>Put Theta (annual)</t>
        </is>
      </c>
      <c r="B34" s="18">
        <f>B7*B31-B7*B6*B32-0.5*(B9*B6)^2*B33</f>
        <v/>
      </c>
      <c r="C34" s="18">
        <f>C7*C31-C7*C6*C32-0.5*(C9*C6)^2*C33</f>
        <v/>
      </c>
    </row>
  </sheetData>
  <mergeCells count="5">
    <mergeCell ref="A4:E4"/>
    <mergeCell ref="A2:E2"/>
    <mergeCell ref="A25:E25"/>
    <mergeCell ref="A1:E1"/>
    <mergeCell ref="A14:E14"/>
  </mergeCells>
  <pageMargins left="0.3" right="0.3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G57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 ht="28" customHeight="1">
      <c r="A1" s="1" t="inlineStr">
        <is>
          <t>Dynamic Option Hedging Simulation</t>
        </is>
      </c>
    </row>
    <row r="2">
      <c r="A2" s="7" t="inlineStr">
        <is>
          <t>Four-period Black-Scholes repricing with unhedged, Delta-hedged, and Gamma-hedged portfolios</t>
        </is>
      </c>
    </row>
    <row r="3"/>
    <row r="4" ht="20" customHeight="1">
      <c r="A4" s="3" t="inlineStr">
        <is>
          <t>Market Path &amp; Assumptions</t>
        </is>
      </c>
    </row>
    <row r="5">
      <c r="A5" s="8" t="inlineStr">
        <is>
          <t>Assumption / Period</t>
        </is>
      </c>
      <c r="B5" s="8" t="inlineStr">
        <is>
          <t>t = 0</t>
        </is>
      </c>
      <c r="C5" s="8" t="inlineStr">
        <is>
          <t>t = 0.25</t>
        </is>
      </c>
      <c r="D5" s="8" t="inlineStr">
        <is>
          <t>t = 0.50</t>
        </is>
      </c>
      <c r="E5" s="8" t="inlineStr">
        <is>
          <t>t = 0.75</t>
        </is>
      </c>
      <c r="F5" s="8" t="inlineStr">
        <is>
          <t>Expiry</t>
        </is>
      </c>
      <c r="G5" s="8" t="inlineStr">
        <is>
          <t>Units</t>
        </is>
      </c>
    </row>
    <row r="6">
      <c r="A6" s="9" t="inlineStr">
        <is>
          <t>Stock price</t>
        </is>
      </c>
      <c r="B6" s="10" t="n">
        <v>100</v>
      </c>
      <c r="C6" s="10" t="n">
        <v>130</v>
      </c>
      <c r="D6" s="10" t="n">
        <v>80</v>
      </c>
      <c r="E6" s="10" t="n">
        <v>50</v>
      </c>
      <c r="F6" s="10" t="n">
        <v>115</v>
      </c>
      <c r="G6" s="11" t="inlineStr">
        <is>
          <t>$ per share</t>
        </is>
      </c>
    </row>
    <row r="7">
      <c r="A7" s="9" t="inlineStr">
        <is>
          <t>Risk-free rate (continuous)</t>
        </is>
      </c>
      <c r="B7" s="12" t="n">
        <v>0.03</v>
      </c>
      <c r="C7" s="12" t="n">
        <v>0.03</v>
      </c>
      <c r="D7" s="12" t="n">
        <v>0.03</v>
      </c>
      <c r="E7" s="12" t="n">
        <v>0.03</v>
      </c>
      <c r="F7" s="12" t="n">
        <v>0.03</v>
      </c>
      <c r="G7" s="11" t="inlineStr">
        <is>
          <t>annualized</t>
        </is>
      </c>
    </row>
    <row r="8">
      <c r="A8" s="9" t="inlineStr">
        <is>
          <t>Dividend yield (continuous)</t>
        </is>
      </c>
      <c r="B8" s="12" t="n">
        <v>0.06</v>
      </c>
      <c r="C8" s="12" t="n">
        <v>0.06</v>
      </c>
      <c r="D8" s="12" t="n">
        <v>0.06</v>
      </c>
      <c r="E8" s="12" t="n">
        <v>0.06</v>
      </c>
      <c r="F8" s="12" t="n">
        <v>0.06</v>
      </c>
      <c r="G8" s="11" t="inlineStr">
        <is>
          <t>annualized</t>
        </is>
      </c>
    </row>
    <row r="9">
      <c r="A9" s="9" t="inlineStr">
        <is>
          <t>Volatility</t>
        </is>
      </c>
      <c r="B9" s="12" t="n">
        <v>0.45</v>
      </c>
      <c r="C9" s="12" t="n">
        <v>0.45</v>
      </c>
      <c r="D9" s="12" t="n">
        <v>0.45</v>
      </c>
      <c r="E9" s="12" t="n">
        <v>0.45</v>
      </c>
      <c r="F9" s="12" t="n">
        <v>0.45</v>
      </c>
      <c r="G9" s="11" t="inlineStr">
        <is>
          <t>annualized</t>
        </is>
      </c>
    </row>
    <row r="10">
      <c r="A10" s="9" t="inlineStr">
        <is>
          <t>Time to expiration</t>
        </is>
      </c>
      <c r="B10" s="13" t="n">
        <v>1</v>
      </c>
      <c r="C10" s="14">
        <f>B10-B12</f>
        <v/>
      </c>
      <c r="D10" s="14">
        <f>C10-C12</f>
        <v/>
      </c>
      <c r="E10" s="14">
        <f>D10-D12</f>
        <v/>
      </c>
      <c r="F10" s="13" t="n">
        <v>1e-07</v>
      </c>
      <c r="G10" s="11" t="inlineStr">
        <is>
          <t>years</t>
        </is>
      </c>
    </row>
    <row r="11">
      <c r="A11" s="9" t="inlineStr">
        <is>
          <t>Strike price</t>
        </is>
      </c>
      <c r="B11" s="10" t="n">
        <v>90</v>
      </c>
      <c r="C11" s="10" t="n">
        <v>90</v>
      </c>
      <c r="D11" s="10" t="n">
        <v>90</v>
      </c>
      <c r="E11" s="10" t="n">
        <v>90</v>
      </c>
      <c r="F11" s="10" t="n">
        <v>90</v>
      </c>
      <c r="G11" s="11" t="inlineStr">
        <is>
          <t>$ per share</t>
        </is>
      </c>
    </row>
    <row r="12">
      <c r="A12" s="9" t="inlineStr">
        <is>
          <t>Hedging period length</t>
        </is>
      </c>
      <c r="B12" s="13" t="n">
        <v>0.25</v>
      </c>
      <c r="C12" s="13" t="n">
        <v>0.25</v>
      </c>
      <c r="D12" s="13" t="n">
        <v>0.25</v>
      </c>
      <c r="E12" s="13" t="n">
        <v>0.25</v>
      </c>
      <c r="F12" s="13" t="n">
        <v>0.25</v>
      </c>
      <c r="G12" s="11" t="inlineStr">
        <is>
          <t>years</t>
        </is>
      </c>
    </row>
    <row r="13"/>
    <row r="14"/>
    <row r="15" ht="20" customHeight="1">
      <c r="A15" s="3" t="inlineStr">
        <is>
          <t>Black-Scholes Repricing</t>
        </is>
      </c>
    </row>
    <row r="16">
      <c r="A16" s="8" t="inlineStr">
        <is>
          <t>Metric</t>
        </is>
      </c>
      <c r="B16" s="8" t="inlineStr">
        <is>
          <t>t = 0</t>
        </is>
      </c>
      <c r="C16" s="8" t="inlineStr">
        <is>
          <t>t = 0.25</t>
        </is>
      </c>
      <c r="D16" s="8" t="inlineStr">
        <is>
          <t>t = 0.50</t>
        </is>
      </c>
      <c r="E16" s="8" t="inlineStr">
        <is>
          <t>t = 0.75</t>
        </is>
      </c>
      <c r="F16" s="8" t="inlineStr">
        <is>
          <t>Expiry</t>
        </is>
      </c>
    </row>
    <row r="17">
      <c r="A17" s="9" t="inlineStr">
        <is>
          <t>Risk-free discount factor</t>
        </is>
      </c>
      <c r="B17" s="15">
        <f>EXP(-B7*B10)</f>
        <v/>
      </c>
      <c r="C17" s="15">
        <f>EXP(-C7*C10)</f>
        <v/>
      </c>
      <c r="D17" s="15">
        <f>EXP(-D7*D10)</f>
        <v/>
      </c>
      <c r="E17" s="15">
        <f>EXP(-E7*E10)</f>
        <v/>
      </c>
      <c r="F17" s="15">
        <f>EXP(-F7*F10)</f>
        <v/>
      </c>
    </row>
    <row r="18">
      <c r="A18" s="9" t="inlineStr">
        <is>
          <t>Dividend discount factor</t>
        </is>
      </c>
      <c r="B18" s="15">
        <f>EXP(-B8*B10)</f>
        <v/>
      </c>
      <c r="C18" s="15">
        <f>EXP(-C8*C10)</f>
        <v/>
      </c>
      <c r="D18" s="15">
        <f>EXP(-D8*D10)</f>
        <v/>
      </c>
      <c r="E18" s="15">
        <f>EXP(-E8*E10)</f>
        <v/>
      </c>
      <c r="F18" s="15">
        <f>EXP(-F8*F10)</f>
        <v/>
      </c>
    </row>
    <row r="19">
      <c r="A19" s="9" t="inlineStr">
        <is>
          <t>d1</t>
        </is>
      </c>
      <c r="B19" s="15">
        <f>(LN(B6/B11)+(B7-B8+0.5*B9^2)*B10)/(B9*SQRT(B10))</f>
        <v/>
      </c>
      <c r="C19" s="15">
        <f>(LN(C6/C11)+(C7-C8+0.5*C9^2)*C10)/(C9*SQRT(C10))</f>
        <v/>
      </c>
      <c r="D19" s="15">
        <f>(LN(D6/D11)+(D7-D8+0.5*D9^2)*D10)/(D9*SQRT(D10))</f>
        <v/>
      </c>
      <c r="E19" s="15">
        <f>(LN(E6/E11)+(E7-E8+0.5*E9^2)*E10)/(E9*SQRT(E10))</f>
        <v/>
      </c>
      <c r="F19" s="15">
        <f>(LN(F6/F11)+(F7-F8+0.5*F9^2)*F10)/(F9*SQRT(F10))</f>
        <v/>
      </c>
    </row>
    <row r="20">
      <c r="A20" s="9" t="inlineStr">
        <is>
          <t>d2</t>
        </is>
      </c>
      <c r="B20" s="15">
        <f>B19-B9*SQRT(B10)</f>
        <v/>
      </c>
      <c r="C20" s="15">
        <f>C19-C9*SQRT(C10)</f>
        <v/>
      </c>
      <c r="D20" s="15">
        <f>D19-D9*SQRT(D10)</f>
        <v/>
      </c>
      <c r="E20" s="15">
        <f>E19-E9*SQRT(E10)</f>
        <v/>
      </c>
      <c r="F20" s="15">
        <f>F19-F9*SQRT(F10)</f>
        <v/>
      </c>
    </row>
    <row r="21">
      <c r="A21" s="9" t="inlineStr">
        <is>
          <t>N(d1)</t>
        </is>
      </c>
      <c r="B21" s="15">
        <f>NORMSDIST(B19)</f>
        <v/>
      </c>
      <c r="C21" s="15">
        <f>NORMSDIST(C19)</f>
        <v/>
      </c>
      <c r="D21" s="15">
        <f>NORMSDIST(D19)</f>
        <v/>
      </c>
      <c r="E21" s="15">
        <f>NORMSDIST(E19)</f>
        <v/>
      </c>
      <c r="F21" s="15">
        <f>NORMSDIST(F19)</f>
        <v/>
      </c>
    </row>
    <row r="22">
      <c r="A22" s="9" t="inlineStr">
        <is>
          <t>N(d2)</t>
        </is>
      </c>
      <c r="B22" s="15">
        <f>NORMSDIST(B20)</f>
        <v/>
      </c>
      <c r="C22" s="15">
        <f>NORMSDIST(C20)</f>
        <v/>
      </c>
      <c r="D22" s="15">
        <f>NORMSDIST(D20)</f>
        <v/>
      </c>
      <c r="E22" s="15">
        <f>NORMSDIST(E20)</f>
        <v/>
      </c>
      <c r="F22" s="15">
        <f>NORMSDIST(F20)</f>
        <v/>
      </c>
    </row>
    <row r="23">
      <c r="A23" s="9" t="inlineStr">
        <is>
          <t>φ(d1)</t>
        </is>
      </c>
      <c r="B23" s="15">
        <f>EXP(-(B19^2)/2)/SQRT(2*PI())</f>
        <v/>
      </c>
      <c r="C23" s="15">
        <f>EXP(-(C19^2)/2)/SQRT(2*PI())</f>
        <v/>
      </c>
      <c r="D23" s="15">
        <f>EXP(-(D19^2)/2)/SQRT(2*PI())</f>
        <v/>
      </c>
      <c r="E23" s="15">
        <f>EXP(-(E19^2)/2)/SQRT(2*PI())</f>
        <v/>
      </c>
      <c r="F23" s="15">
        <f>EXP(-(F19^2)/2)/SQRT(2*PI())</f>
        <v/>
      </c>
    </row>
    <row r="24">
      <c r="A24" s="19" t="inlineStr">
        <is>
          <t>Call price</t>
        </is>
      </c>
      <c r="B24" s="18">
        <f>B6*B18*B21-B11*B17*B22</f>
        <v/>
      </c>
      <c r="C24" s="18">
        <f>C6*C18*C21-C11*C17*C22</f>
        <v/>
      </c>
      <c r="D24" s="18">
        <f>D6*D18*D21-D11*D17*D22</f>
        <v/>
      </c>
      <c r="E24" s="18">
        <f>E6*E18*E21-E11*E17*E22</f>
        <v/>
      </c>
      <c r="F24" s="18">
        <f>F6*F18*F21-F11*F17*F22</f>
        <v/>
      </c>
    </row>
    <row r="25">
      <c r="A25" s="9" t="inlineStr">
        <is>
          <t>Call Delta</t>
        </is>
      </c>
      <c r="B25" s="15">
        <f>B18*B21</f>
        <v/>
      </c>
      <c r="C25" s="15">
        <f>C18*C21</f>
        <v/>
      </c>
      <c r="D25" s="15">
        <f>D18*D21</f>
        <v/>
      </c>
      <c r="E25" s="15">
        <f>E18*E21</f>
        <v/>
      </c>
      <c r="F25" s="15">
        <f>F18*F21</f>
        <v/>
      </c>
    </row>
    <row r="26">
      <c r="A26" s="9" t="inlineStr">
        <is>
          <t>Gamma</t>
        </is>
      </c>
      <c r="B26" s="15">
        <f>B18*B23/(B6*B9*SQRT(B10))</f>
        <v/>
      </c>
      <c r="C26" s="15">
        <f>C18*C23/(C6*C9*SQRT(C10))</f>
        <v/>
      </c>
      <c r="D26" s="15">
        <f>D18*D23/(D6*D9*SQRT(D10))</f>
        <v/>
      </c>
      <c r="E26" s="15">
        <f>E18*E23/(E6*E9*SQRT(E10))</f>
        <v/>
      </c>
      <c r="F26" s="15">
        <f>F18*F23/(F6*F9*SQRT(F10))</f>
        <v/>
      </c>
    </row>
    <row r="27">
      <c r="A27" s="19" t="inlineStr">
        <is>
          <t>Put price</t>
        </is>
      </c>
      <c r="B27" s="18">
        <f>B11*B17*(1-B22)-B6*B18*(1-B21)</f>
        <v/>
      </c>
      <c r="C27" s="18">
        <f>C11*C17*(1-C22)-C6*C18*(1-C21)</f>
        <v/>
      </c>
      <c r="D27" s="18">
        <f>D11*D17*(1-D22)-D6*D18*(1-D21)</f>
        <v/>
      </c>
      <c r="E27" s="18">
        <f>E11*E17*(1-E22)-E6*E18*(1-E21)</f>
        <v/>
      </c>
      <c r="F27" s="18">
        <f>F11*F17*(1-F22)-F6*F18*(1-F21)</f>
        <v/>
      </c>
    </row>
    <row r="28">
      <c r="A28" s="9" t="inlineStr">
        <is>
          <t>Put Delta</t>
        </is>
      </c>
      <c r="B28" s="15">
        <f>B18*(B21-1)</f>
        <v/>
      </c>
      <c r="C28" s="15">
        <f>C18*(C21-1)</f>
        <v/>
      </c>
      <c r="D28" s="15">
        <f>D18*(D21-1)</f>
        <v/>
      </c>
      <c r="E28" s="15">
        <f>E18*(E21-1)</f>
        <v/>
      </c>
      <c r="F28" s="15">
        <f>F18*(F21-1)</f>
        <v/>
      </c>
    </row>
    <row r="29"/>
    <row r="30"/>
    <row r="31" ht="20" customHeight="1">
      <c r="A31" s="3" t="inlineStr">
        <is>
          <t>Delta-Hedged Portfolio</t>
        </is>
      </c>
    </row>
    <row r="32">
      <c r="A32" s="8" t="inlineStr">
        <is>
          <t>Position / Metric</t>
        </is>
      </c>
      <c r="B32" s="8" t="inlineStr">
        <is>
          <t>t = 0</t>
        </is>
      </c>
      <c r="C32" s="8" t="inlineStr">
        <is>
          <t>t = 0.25</t>
        </is>
      </c>
      <c r="D32" s="8" t="inlineStr">
        <is>
          <t>t = 0.50</t>
        </is>
      </c>
      <c r="E32" s="8" t="inlineStr">
        <is>
          <t>t = 0.75</t>
        </is>
      </c>
      <c r="F32" s="8" t="inlineStr">
        <is>
          <t>Expiry</t>
        </is>
      </c>
    </row>
    <row r="33">
      <c r="A33" s="9" t="inlineStr">
        <is>
          <t>Calls in portfolio</t>
        </is>
      </c>
      <c r="B33" s="20" t="n">
        <v>100</v>
      </c>
      <c r="C33" s="20" t="n">
        <v>100</v>
      </c>
      <c r="D33" s="20" t="n">
        <v>100</v>
      </c>
      <c r="E33" s="20" t="n">
        <v>100</v>
      </c>
      <c r="F33" s="20" t="n">
        <v>100</v>
      </c>
    </row>
    <row r="34">
      <c r="A34" s="9" t="inlineStr">
        <is>
          <t>Call Delta Exposure</t>
        </is>
      </c>
      <c r="B34" s="14">
        <f>B25*B33</f>
        <v/>
      </c>
      <c r="C34" s="14">
        <f>C25*C33</f>
        <v/>
      </c>
      <c r="D34" s="14">
        <f>D25*D33</f>
        <v/>
      </c>
      <c r="E34" s="14">
        <f>E25*E33</f>
        <v/>
      </c>
      <c r="F34" s="14">
        <f>F25*F33</f>
        <v/>
      </c>
    </row>
    <row r="35">
      <c r="A35" s="9" t="inlineStr">
        <is>
          <t>Stock Position Carried In</t>
        </is>
      </c>
      <c r="B35" s="14">
        <f>-B34</f>
        <v/>
      </c>
      <c r="C35" s="14">
        <f>(B35+B36)*EXP(C8*C12)</f>
        <v/>
      </c>
      <c r="D35" s="14">
        <f>(C35+C36)*EXP(D8*D12)</f>
        <v/>
      </c>
      <c r="E35" s="14">
        <f>(D35+D36)*EXP(E8*E12)</f>
        <v/>
      </c>
      <c r="F35" s="14">
        <f>(E35+E36)*EXP(F8*F12)</f>
        <v/>
      </c>
    </row>
    <row r="36">
      <c r="A36" s="9" t="inlineStr">
        <is>
          <t>Stock Rebalance</t>
        </is>
      </c>
      <c r="B36" s="14">
        <f>0</f>
        <v/>
      </c>
      <c r="C36" s="14">
        <f>-(C34+C35)</f>
        <v/>
      </c>
      <c r="D36" s="14">
        <f>-(D34+D35)</f>
        <v/>
      </c>
      <c r="E36" s="14">
        <f>-(E34+E35)</f>
        <v/>
      </c>
      <c r="F36" s="14">
        <f>-(F34+F35)</f>
        <v/>
      </c>
    </row>
    <row r="37">
      <c r="A37" s="9" t="inlineStr">
        <is>
          <t>Risk-Free Asset Carried In</t>
        </is>
      </c>
      <c r="B37" s="18">
        <f>-(B33*B24+B35*B6)</f>
        <v/>
      </c>
      <c r="C37" s="18">
        <f>(B37+B38)*EXP(C7*C12)</f>
        <v/>
      </c>
      <c r="D37" s="18">
        <f>(C37+C38)*EXP(D7*D12)</f>
        <v/>
      </c>
      <c r="E37" s="18">
        <f>(D37+D38)*EXP(E7*E12)</f>
        <v/>
      </c>
      <c r="F37" s="18">
        <f>(E37+E38)*EXP(F7*F12)</f>
        <v/>
      </c>
    </row>
    <row r="38">
      <c r="A38" s="9" t="inlineStr">
        <is>
          <t>Risk-Free Asset Rebalance</t>
        </is>
      </c>
      <c r="B38" s="18">
        <f>0</f>
        <v/>
      </c>
      <c r="C38" s="18">
        <f>-(C33*C24+C35*C6+C37)</f>
        <v/>
      </c>
      <c r="D38" s="18">
        <f>-(D33*D24+D35*D6+D37)</f>
        <v/>
      </c>
      <c r="E38" s="18">
        <f>-(E33*E24+E35*E6+E37)</f>
        <v/>
      </c>
      <c r="F38" s="18">
        <f>-(F33*F24+F35*F6+F37)</f>
        <v/>
      </c>
    </row>
    <row r="39">
      <c r="A39" s="19" t="inlineStr">
        <is>
          <t>Portfolio Delta After Rebalance</t>
        </is>
      </c>
      <c r="B39" s="14">
        <f>B34+B35+B36</f>
        <v/>
      </c>
      <c r="C39" s="14">
        <f>C34+C35+C36</f>
        <v/>
      </c>
      <c r="D39" s="14">
        <f>D34+D35+D36</f>
        <v/>
      </c>
      <c r="E39" s="14">
        <f>E34+E35+E36</f>
        <v/>
      </c>
      <c r="F39" s="14">
        <f>F34+F35+F36</f>
        <v/>
      </c>
    </row>
    <row r="40">
      <c r="A40" s="19" t="inlineStr">
        <is>
          <t>Portfolio Value After Rebalance</t>
        </is>
      </c>
      <c r="B40" s="18">
        <f>B33*B24+(B35+B36)*B6+B37+B38</f>
        <v/>
      </c>
      <c r="C40" s="18">
        <f>C33*C24+(C35+C36)*C6+C37+C38</f>
        <v/>
      </c>
      <c r="D40" s="18">
        <f>D33*D24+(D35+D36)*D6+D37+D38</f>
        <v/>
      </c>
      <c r="E40" s="18">
        <f>E33*E24+(E35+E36)*E6+E37+E38</f>
        <v/>
      </c>
      <c r="F40" s="18">
        <f>F33*F24+(F35+F36)*F6+F37+F38</f>
        <v/>
      </c>
    </row>
    <row r="41"/>
    <row r="42"/>
    <row r="43" ht="20" customHeight="1">
      <c r="A43" s="3" t="inlineStr">
        <is>
          <t>Gamma-Hedged Portfolio</t>
        </is>
      </c>
    </row>
    <row r="44">
      <c r="A44" s="8" t="inlineStr">
        <is>
          <t>Position / Metric</t>
        </is>
      </c>
      <c r="B44" s="8" t="inlineStr">
        <is>
          <t>t = 0</t>
        </is>
      </c>
      <c r="C44" s="8" t="inlineStr">
        <is>
          <t>t = 0.25</t>
        </is>
      </c>
      <c r="D44" s="8" t="inlineStr">
        <is>
          <t>t = 0.50</t>
        </is>
      </c>
      <c r="E44" s="8" t="inlineStr">
        <is>
          <t>t = 0.75</t>
        </is>
      </c>
      <c r="F44" s="8" t="inlineStr">
        <is>
          <t>Expiry</t>
        </is>
      </c>
    </row>
    <row r="45">
      <c r="A45" s="9" t="inlineStr">
        <is>
          <t>Calls in portfolio</t>
        </is>
      </c>
      <c r="B45" s="20" t="n">
        <v>100</v>
      </c>
      <c r="C45" s="20" t="n">
        <v>100</v>
      </c>
      <c r="D45" s="20" t="n">
        <v>100</v>
      </c>
      <c r="E45" s="20" t="n">
        <v>100</v>
      </c>
      <c r="F45" s="20" t="n">
        <v>100</v>
      </c>
    </row>
    <row r="46">
      <c r="A46" s="9" t="inlineStr">
        <is>
          <t>Call Gamma Exposure</t>
        </is>
      </c>
      <c r="B46" s="14">
        <f>B45*B26</f>
        <v/>
      </c>
      <c r="C46" s="14">
        <f>C45*C26</f>
        <v/>
      </c>
      <c r="D46" s="14">
        <f>D45*D26</f>
        <v/>
      </c>
      <c r="E46" s="14">
        <f>E45*E26</f>
        <v/>
      </c>
      <c r="F46" s="14">
        <f>F45*F26</f>
        <v/>
      </c>
    </row>
    <row r="47">
      <c r="A47" s="9" t="inlineStr">
        <is>
          <t>Put Position</t>
        </is>
      </c>
      <c r="B47" s="14">
        <f>-B46/B26</f>
        <v/>
      </c>
      <c r="C47" s="14">
        <f>-C46/C26</f>
        <v/>
      </c>
      <c r="D47" s="14">
        <f>-D46/D26</f>
        <v/>
      </c>
      <c r="E47" s="14">
        <f>-E46/E26</f>
        <v/>
      </c>
      <c r="F47" s="13" t="n">
        <v>-100</v>
      </c>
    </row>
    <row r="48">
      <c r="A48" s="9" t="inlineStr">
        <is>
          <t>Portfolio Gamma</t>
        </is>
      </c>
      <c r="B48" s="14">
        <f>B46+B47*B26</f>
        <v/>
      </c>
      <c r="C48" s="14">
        <f>C46+C47*C26</f>
        <v/>
      </c>
      <c r="D48" s="14">
        <f>D46+D47*D26</f>
        <v/>
      </c>
      <c r="E48" s="14">
        <f>E46+E47*E26</f>
        <v/>
      </c>
      <c r="F48" s="14">
        <f>F46+F47*F26</f>
        <v/>
      </c>
    </row>
    <row r="49">
      <c r="A49" s="9" t="inlineStr">
        <is>
          <t>Call Delta Exposure</t>
        </is>
      </c>
      <c r="B49" s="14">
        <f>B25*B45</f>
        <v/>
      </c>
      <c r="C49" s="14">
        <f>C25*C45</f>
        <v/>
      </c>
      <c r="D49" s="14">
        <f>D25*D45</f>
        <v/>
      </c>
      <c r="E49" s="14">
        <f>E25*E45</f>
        <v/>
      </c>
      <c r="F49" s="14">
        <f>F25*F45</f>
        <v/>
      </c>
    </row>
    <row r="50">
      <c r="A50" s="9" t="inlineStr">
        <is>
          <t>Put Delta Exposure</t>
        </is>
      </c>
      <c r="B50" s="14">
        <f>B47*B28</f>
        <v/>
      </c>
      <c r="C50" s="14">
        <f>C47*C28</f>
        <v/>
      </c>
      <c r="D50" s="14">
        <f>D47*D28</f>
        <v/>
      </c>
      <c r="E50" s="14">
        <f>E47*E28</f>
        <v/>
      </c>
      <c r="F50" s="14">
        <f>F47*F28</f>
        <v/>
      </c>
    </row>
    <row r="51">
      <c r="A51" s="9" t="inlineStr">
        <is>
          <t>Stock Position Carried In</t>
        </is>
      </c>
      <c r="B51" s="14">
        <f>-B49-B50</f>
        <v/>
      </c>
      <c r="C51" s="14">
        <f>(B51+B52)*EXP(C8*C12)</f>
        <v/>
      </c>
      <c r="D51" s="14">
        <f>(C51+C52)*EXP(D8*D12)</f>
        <v/>
      </c>
      <c r="E51" s="14">
        <f>(D51+D52)*EXP(E8*E12)</f>
        <v/>
      </c>
      <c r="F51" s="14">
        <f>(E51+E52)*EXP(F8*F12)</f>
        <v/>
      </c>
    </row>
    <row r="52">
      <c r="A52" s="9" t="inlineStr">
        <is>
          <t>Stock Rebalance</t>
        </is>
      </c>
      <c r="B52" s="14">
        <f>0</f>
        <v/>
      </c>
      <c r="C52" s="14">
        <f>-(C49+C50+C51)</f>
        <v/>
      </c>
      <c r="D52" s="14">
        <f>-(D49+D50+D51)</f>
        <v/>
      </c>
      <c r="E52" s="14">
        <f>-(E49+E50+E51)</f>
        <v/>
      </c>
      <c r="F52" s="14">
        <f>-(F49+F50+F51)</f>
        <v/>
      </c>
    </row>
    <row r="53">
      <c r="A53" s="9" t="inlineStr">
        <is>
          <t>Risk-Free Asset Carried In</t>
        </is>
      </c>
      <c r="B53" s="18">
        <f>-(B45*B24+B47*B27+B51*B6)</f>
        <v/>
      </c>
      <c r="C53" s="18">
        <f>(B53+B54)*EXP(C7*C12)</f>
        <v/>
      </c>
      <c r="D53" s="18">
        <f>(C53+C54)*EXP(D7*D12)</f>
        <v/>
      </c>
      <c r="E53" s="18">
        <f>(D53+D54)*EXP(E7*E12)</f>
        <v/>
      </c>
      <c r="F53" s="18">
        <f>(E53+E54)*EXP(F7*F12)</f>
        <v/>
      </c>
    </row>
    <row r="54">
      <c r="A54" s="9" t="inlineStr">
        <is>
          <t>Risk-Free Asset Rebalance</t>
        </is>
      </c>
      <c r="B54" s="18">
        <f>0</f>
        <v/>
      </c>
      <c r="C54" s="18">
        <f>-(C45*C24+C47*C27+C51*C6+C53)</f>
        <v/>
      </c>
      <c r="D54" s="18">
        <f>-(D45*D24+D47*D27+D51*D6+D53)</f>
        <v/>
      </c>
      <c r="E54" s="18">
        <f>-(E45*E24+E47*E27+E51*E6+E53)</f>
        <v/>
      </c>
      <c r="F54" s="18">
        <f>-(F45*F24+F47*F27+F51*F6+F53)</f>
        <v/>
      </c>
    </row>
    <row r="55">
      <c r="A55" s="19" t="inlineStr">
        <is>
          <t>Portfolio Gamma After Rebalance</t>
        </is>
      </c>
      <c r="B55" s="14">
        <f>B48</f>
        <v/>
      </c>
      <c r="C55" s="14">
        <f>C48</f>
        <v/>
      </c>
      <c r="D55" s="14">
        <f>D48</f>
        <v/>
      </c>
      <c r="E55" s="14">
        <f>E48</f>
        <v/>
      </c>
      <c r="F55" s="14">
        <f>F48</f>
        <v/>
      </c>
    </row>
    <row r="56">
      <c r="A56" s="19" t="inlineStr">
        <is>
          <t>Portfolio Delta After Rebalance</t>
        </is>
      </c>
      <c r="B56" s="14">
        <f>B49+B50+B51+B52</f>
        <v/>
      </c>
      <c r="C56" s="14">
        <f>C49+C50+C51+C52</f>
        <v/>
      </c>
      <c r="D56" s="14">
        <f>D49+D50+D51+D52</f>
        <v/>
      </c>
      <c r="E56" s="14">
        <f>E49+E50+E51+E52</f>
        <v/>
      </c>
      <c r="F56" s="14">
        <f>F49+F50+F51+F52</f>
        <v/>
      </c>
    </row>
    <row r="57">
      <c r="A57" s="19" t="inlineStr">
        <is>
          <t>Portfolio Value After Rebalance</t>
        </is>
      </c>
      <c r="B57" s="18">
        <f>B45*B24+B47*B27+(B51+B52)*B6+B53+B54</f>
        <v/>
      </c>
      <c r="C57" s="18">
        <f>C45*C24+C47*C27+(C51+C52)*C6+C53+C54</f>
        <v/>
      </c>
      <c r="D57" s="18">
        <f>D45*D24+D47*D27+(D51+D52)*D6+D53+D54</f>
        <v/>
      </c>
      <c r="E57" s="18">
        <f>E45*E24+E47*E27+(E51+E52)*E6+E53+E54</f>
        <v/>
      </c>
      <c r="F57" s="18">
        <f>F45*F24+F47*F27+(F51+F52)*F6+F53+F54</f>
        <v/>
      </c>
    </row>
  </sheetData>
  <mergeCells count="6">
    <mergeCell ref="A1:G1"/>
    <mergeCell ref="A31:G31"/>
    <mergeCell ref="A4:G4"/>
    <mergeCell ref="A2:G2"/>
    <mergeCell ref="A15:G15"/>
    <mergeCell ref="A43:G43"/>
  </mergeCells>
  <pageMargins left="0.3" right="0.3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O35"/>
  <sheetViews>
    <sheetView showGridLines="0"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8" customWidth="1" min="1" max="1"/>
    <col width="15" customWidth="1" min="2" max="2"/>
    <col width="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" customWidth="1" min="15" max="15"/>
  </cols>
  <sheetData>
    <row r="1" ht="28" customHeight="1">
      <c r="A1" s="1" t="inlineStr">
        <is>
          <t>Three-Period Binomial Option Pricing — American</t>
        </is>
      </c>
    </row>
    <row r="2">
      <c r="A2" s="7" t="inlineStr">
        <is>
          <t>Early-exercise valuation using risk-neutral probabilities</t>
        </is>
      </c>
    </row>
    <row r="3"/>
    <row r="4" ht="20" customHeight="1">
      <c r="A4" s="3" t="inlineStr">
        <is>
          <t>Model Inputs</t>
        </is>
      </c>
      <c r="D4" s="3" t="inlineStr">
        <is>
          <t>Call Option Tree</t>
        </is>
      </c>
      <c r="J4" s="3" t="inlineStr">
        <is>
          <t>Put Option Tree</t>
        </is>
      </c>
    </row>
    <row r="5">
      <c r="A5" s="9" t="inlineStr">
        <is>
          <t>Initial stock price</t>
        </is>
      </c>
      <c r="B5" s="10" t="n">
        <v>30</v>
      </c>
      <c r="D5" s="8" t="inlineStr">
        <is>
          <t>Period</t>
        </is>
      </c>
      <c r="E5" s="8" t="inlineStr">
        <is>
          <t>0</t>
        </is>
      </c>
      <c r="F5" s="8" t="inlineStr">
        <is>
          <t>1</t>
        </is>
      </c>
      <c r="G5" s="8" t="inlineStr">
        <is>
          <t>2</t>
        </is>
      </c>
      <c r="H5" s="8" t="inlineStr">
        <is>
          <t>3</t>
        </is>
      </c>
      <c r="J5" s="8" t="inlineStr">
        <is>
          <t>Period</t>
        </is>
      </c>
      <c r="K5" s="8" t="inlineStr">
        <is>
          <t>0</t>
        </is>
      </c>
      <c r="L5" s="8" t="inlineStr">
        <is>
          <t>1</t>
        </is>
      </c>
      <c r="M5" s="8" t="inlineStr">
        <is>
          <t>2</t>
        </is>
      </c>
      <c r="N5" s="8" t="inlineStr">
        <is>
          <t>3</t>
        </is>
      </c>
    </row>
    <row r="6">
      <c r="A6" s="9" t="inlineStr">
        <is>
          <t>Risk-free rate (continuous)</t>
        </is>
      </c>
      <c r="B6" s="12" t="n">
        <v>0.05</v>
      </c>
      <c r="D6" s="8" t="inlineStr">
        <is>
          <t>Time</t>
        </is>
      </c>
      <c r="E6" s="8" t="inlineStr">
        <is>
          <t>0</t>
        </is>
      </c>
      <c r="F6" s="8" t="inlineStr">
        <is>
          <t>1 x dt</t>
        </is>
      </c>
      <c r="G6" s="8" t="inlineStr">
        <is>
          <t>2 x dt</t>
        </is>
      </c>
      <c r="H6" s="8" t="inlineStr">
        <is>
          <t>3 x dt</t>
        </is>
      </c>
      <c r="J6" s="8" t="inlineStr">
        <is>
          <t>Time</t>
        </is>
      </c>
      <c r="K6" s="8" t="inlineStr">
        <is>
          <t>0</t>
        </is>
      </c>
      <c r="L6" s="8" t="inlineStr">
        <is>
          <t>1 x dt</t>
        </is>
      </c>
      <c r="M6" s="8" t="inlineStr">
        <is>
          <t>2 x dt</t>
        </is>
      </c>
      <c r="N6" s="8" t="inlineStr">
        <is>
          <t>3 x dt</t>
        </is>
      </c>
    </row>
    <row r="7">
      <c r="A7" s="9" t="inlineStr">
        <is>
          <t>Dividend yield (continuous)</t>
        </is>
      </c>
      <c r="B7" s="12" t="n">
        <v>0.05</v>
      </c>
      <c r="D7" s="21" t="inlineStr">
        <is>
          <t>Time (yrs)</t>
        </is>
      </c>
      <c r="E7" s="14">
        <f>0*$B$8</f>
        <v/>
      </c>
      <c r="F7" s="14">
        <f>1*$B$8</f>
        <v/>
      </c>
      <c r="G7" s="14">
        <f>2*$B$8</f>
        <v/>
      </c>
      <c r="H7" s="14">
        <f>3*$B$8</f>
        <v/>
      </c>
      <c r="J7" s="21" t="inlineStr">
        <is>
          <t>Time (yrs)</t>
        </is>
      </c>
      <c r="K7" s="14">
        <f>0*$B$8</f>
        <v/>
      </c>
      <c r="L7" s="14">
        <f>1*$B$8</f>
        <v/>
      </c>
      <c r="M7" s="14">
        <f>2*$B$8</f>
        <v/>
      </c>
      <c r="N7" s="14">
        <f>3*$B$8</f>
        <v/>
      </c>
    </row>
    <row r="8">
      <c r="A8" s="9" t="inlineStr">
        <is>
          <t>Period length (years)</t>
        </is>
      </c>
      <c r="B8" s="13" t="n">
        <v>0.5</v>
      </c>
    </row>
    <row r="9">
      <c r="A9" s="9" t="inlineStr">
        <is>
          <t>Up factor</t>
        </is>
      </c>
      <c r="B9" s="13" t="n">
        <v>1.2</v>
      </c>
    </row>
    <row r="10">
      <c r="A10" s="9" t="inlineStr">
        <is>
          <t>Down factor</t>
        </is>
      </c>
      <c r="B10" s="13" t="n">
        <v>0.9</v>
      </c>
    </row>
    <row r="11">
      <c r="A11" s="9" t="inlineStr">
        <is>
          <t>Strike price</t>
        </is>
      </c>
      <c r="B11" s="10" t="n">
        <v>30</v>
      </c>
    </row>
    <row r="12"/>
    <row r="13" ht="20" customHeight="1">
      <c r="A13" s="3" t="inlineStr">
        <is>
          <t>Derived Parameters</t>
        </is>
      </c>
    </row>
    <row r="14">
      <c r="A14" s="9" t="inlineStr">
        <is>
          <t>Risk-free discount factor</t>
        </is>
      </c>
      <c r="B14" s="15">
        <f>EXP(-B6*B8)</f>
        <v/>
      </c>
    </row>
    <row r="15">
      <c r="A15" s="9" t="inlineStr">
        <is>
          <t>Dividend discount factor</t>
        </is>
      </c>
      <c r="B15" s="15">
        <f>EXP(-B7*B8)</f>
        <v/>
      </c>
    </row>
    <row r="16">
      <c r="A16" s="9" t="inlineStr">
        <is>
          <t>Risk-neutral p*</t>
        </is>
      </c>
      <c r="B16" s="15">
        <f>(EXP((B6-B7)*B8)-B9)/(B10-B9)</f>
        <v/>
      </c>
    </row>
    <row r="17">
      <c r="A17" s="9" t="inlineStr">
        <is>
          <t>Risk-neutral q*</t>
        </is>
      </c>
      <c r="B17" s="15">
        <f>1-B16</f>
        <v/>
      </c>
    </row>
    <row r="18"/>
    <row r="19" ht="20" customHeight="1">
      <c r="D19" s="3" t="inlineStr">
        <is>
          <t>Call Nodes (stock / wait / exercise / option / delta)</t>
        </is>
      </c>
      <c r="J19" s="3" t="inlineStr">
        <is>
          <t>Put Nodes (stock / wait / exercise / option / delta)</t>
        </is>
      </c>
    </row>
    <row r="20"/>
    <row r="21">
      <c r="D21" s="22" t="inlineStr">
        <is>
          <t>Up branch</t>
        </is>
      </c>
      <c r="J21" s="22" t="inlineStr">
        <is>
          <t>Up branch</t>
        </is>
      </c>
    </row>
    <row r="22">
      <c r="D22" s="22" t="inlineStr">
        <is>
          <t>Stock</t>
        </is>
      </c>
      <c r="E22" s="18">
        <f>$B$5</f>
        <v/>
      </c>
      <c r="F22" s="18">
        <f>$E$22*$B$9</f>
        <v/>
      </c>
      <c r="G22" s="18">
        <f>F22*$B$9</f>
        <v/>
      </c>
      <c r="H22" s="18">
        <f>G22*$B$9</f>
        <v/>
      </c>
      <c r="J22" s="22" t="inlineStr">
        <is>
          <t>Stock</t>
        </is>
      </c>
      <c r="K22" s="18">
        <f>$B$5</f>
        <v/>
      </c>
      <c r="L22" s="18">
        <f>$K$22*$B$9</f>
        <v/>
      </c>
      <c r="M22" s="18">
        <f>L22*$B$9</f>
        <v/>
      </c>
      <c r="N22" s="18">
        <f>M22*$B$9</f>
        <v/>
      </c>
    </row>
    <row r="23">
      <c r="D23" s="22" t="inlineStr">
        <is>
          <t>Option</t>
        </is>
      </c>
      <c r="E23" s="17">
        <f>MAX(($B$16*F23+$B$17*F35)*$B$14,MAX(E22-$B$11,0))</f>
        <v/>
      </c>
      <c r="F23" s="17">
        <f>MAX(($B$16*G23+$B$17*G29)*$B$14,MAX(F22-$B$11,0))</f>
        <v/>
      </c>
      <c r="G23" s="17">
        <f>MAX(($B$16*H23+$B$17*H27)*$B$14,MAX(G22-$B$11,0))</f>
        <v/>
      </c>
      <c r="H23" s="17">
        <f>MAX(H22-$B$11,0)</f>
        <v/>
      </c>
      <c r="J23" s="22" t="inlineStr">
        <is>
          <t>Option</t>
        </is>
      </c>
      <c r="K23" s="17">
        <f>MAX(($B$16*L23+$B$17*L35)*$B$14,MAX($B$11-K22,0))</f>
        <v/>
      </c>
      <c r="L23" s="17">
        <f>MAX(($B$16*M23+$B$17*M29)*$B$14,MAX($B$11-L22,0))</f>
        <v/>
      </c>
      <c r="M23" s="17">
        <f>MAX(($B$16*N23+$B$17*N27)*$B$14,MAX($B$11-M22,0))</f>
        <v/>
      </c>
      <c r="N23" s="17">
        <f>MAX($B$11-N22,0)</f>
        <v/>
      </c>
    </row>
    <row r="24">
      <c r="D24" s="22" t="inlineStr">
        <is>
          <t>Delta</t>
        </is>
      </c>
      <c r="E24" s="15">
        <f>((F23-F35)/(F22-F34))*$B$15</f>
        <v/>
      </c>
      <c r="F24" s="15">
        <f>((G23-G29)/(G22-G28))*$B$15</f>
        <v/>
      </c>
      <c r="G24" s="15">
        <f>((H23-H27)/(H22-H26))*$B$15</f>
        <v/>
      </c>
      <c r="J24" s="22" t="inlineStr">
        <is>
          <t>Delta</t>
        </is>
      </c>
      <c r="K24" s="15">
        <f>((L23-L35)/(L22-L34))*$B$15</f>
        <v/>
      </c>
      <c r="L24" s="15">
        <f>((M23-M29)/(M22-M28))*$B$15</f>
        <v/>
      </c>
      <c r="M24" s="15">
        <f>((N23-N27)/(N22-N26))*$B$15</f>
        <v/>
      </c>
    </row>
    <row r="25"/>
    <row r="26">
      <c r="H26" s="18">
        <f>G22*$B$10</f>
        <v/>
      </c>
      <c r="N26" s="18">
        <f>M22*$B$10</f>
        <v/>
      </c>
    </row>
    <row r="27">
      <c r="D27" s="22" t="inlineStr">
        <is>
          <t>Middle branch</t>
        </is>
      </c>
      <c r="H27" s="17">
        <f>MAX(H26-$B$11,0)</f>
        <v/>
      </c>
      <c r="J27" s="22" t="inlineStr">
        <is>
          <t>Middle branch</t>
        </is>
      </c>
      <c r="N27" s="17">
        <f>MAX($B$11-N26,0)</f>
        <v/>
      </c>
    </row>
    <row r="28">
      <c r="D28" s="22" t="inlineStr">
        <is>
          <t>Stock</t>
        </is>
      </c>
      <c r="G28" s="18">
        <f>F22*$B$10</f>
        <v/>
      </c>
      <c r="J28" s="22" t="inlineStr">
        <is>
          <t>Stock</t>
        </is>
      </c>
      <c r="M28" s="18">
        <f>L22*$B$10</f>
        <v/>
      </c>
    </row>
    <row r="29">
      <c r="D29" s="22" t="inlineStr">
        <is>
          <t>Option</t>
        </is>
      </c>
      <c r="G29" s="17">
        <f>MAX(($B$16*H27+$B$17*H31)*$B$14,MAX(G28-$B$11,0))</f>
        <v/>
      </c>
      <c r="J29" s="22" t="inlineStr">
        <is>
          <t>Option</t>
        </is>
      </c>
      <c r="M29" s="17">
        <f>MAX(($B$16*N27+$B$17*N31)*$B$14,MAX($B$11-M28,0))</f>
        <v/>
      </c>
    </row>
    <row r="30">
      <c r="D30" s="22" t="inlineStr">
        <is>
          <t>Delta</t>
        </is>
      </c>
      <c r="F30" s="15">
        <f>((G29-G35)/(G28-G34))*$B$15</f>
        <v/>
      </c>
      <c r="G30" s="15">
        <f>((H31-H35)/(H30-H34))*$B$15</f>
        <v/>
      </c>
      <c r="H30" s="18">
        <f>G28*$B$10</f>
        <v/>
      </c>
      <c r="J30" s="22" t="inlineStr">
        <is>
          <t>Delta</t>
        </is>
      </c>
      <c r="L30" s="15">
        <f>((M29-M35)/(M28-M34))*$B$15</f>
        <v/>
      </c>
      <c r="M30" s="15">
        <f>((N31-N35)/(N30-N34))*$B$15</f>
        <v/>
      </c>
      <c r="N30" s="18">
        <f>M28*$B$10</f>
        <v/>
      </c>
    </row>
    <row r="31">
      <c r="H31" s="17">
        <f>MAX(H30-$B$11,0)</f>
        <v/>
      </c>
      <c r="N31" s="17">
        <f>MAX($B$11-N30,0)</f>
        <v/>
      </c>
    </row>
    <row r="32"/>
    <row r="33">
      <c r="D33" s="22" t="inlineStr">
        <is>
          <t>Down branch</t>
        </is>
      </c>
      <c r="J33" s="22" t="inlineStr">
        <is>
          <t>Down branch</t>
        </is>
      </c>
    </row>
    <row r="34">
      <c r="D34" s="22" t="inlineStr">
        <is>
          <t>Stock</t>
        </is>
      </c>
      <c r="F34" s="18">
        <f>$E$22*$B$10</f>
        <v/>
      </c>
      <c r="G34" s="18">
        <f>F34*$B$10</f>
        <v/>
      </c>
      <c r="H34" s="18">
        <f>G34*$B$10</f>
        <v/>
      </c>
      <c r="J34" s="22" t="inlineStr">
        <is>
          <t>Stock</t>
        </is>
      </c>
      <c r="L34" s="18">
        <f>$K$22*$B$10</f>
        <v/>
      </c>
      <c r="M34" s="18">
        <f>L34*$B$10</f>
        <v/>
      </c>
      <c r="N34" s="18">
        <f>M34*$B$10</f>
        <v/>
      </c>
    </row>
    <row r="35">
      <c r="D35" s="22" t="inlineStr">
        <is>
          <t>Option</t>
        </is>
      </c>
      <c r="F35" s="17">
        <f>MAX(($B$16*G29+$B$17*G35)*$B$14,MAX(F34-$B$11,0))</f>
        <v/>
      </c>
      <c r="G35" s="17">
        <f>MAX(($B$16*H31+$B$17*H35)*$B$14,MAX(G34-$B$11,0))</f>
        <v/>
      </c>
      <c r="H35" s="17">
        <f>MAX(H34-$B$11,0)</f>
        <v/>
      </c>
      <c r="J35" s="22" t="inlineStr">
        <is>
          <t>Option</t>
        </is>
      </c>
      <c r="L35" s="17">
        <f>MAX(($B$16*M29+$B$17*M35)*$B$14,MAX($B$11-L34,0))</f>
        <v/>
      </c>
      <c r="M35" s="17">
        <f>MAX(($B$16*N31+$B$17*N35)*$B$14,MAX($B$11-M34,0))</f>
        <v/>
      </c>
      <c r="N35" s="17">
        <f>MAX($B$11-N34,0)</f>
        <v/>
      </c>
    </row>
  </sheetData>
  <mergeCells count="8">
    <mergeCell ref="J4:N4"/>
    <mergeCell ref="A13:C13"/>
    <mergeCell ref="A2:O2"/>
    <mergeCell ref="D19:H19"/>
    <mergeCell ref="A1:O1"/>
    <mergeCell ref="J19:N19"/>
    <mergeCell ref="D4:H4"/>
    <mergeCell ref="A4:C4"/>
  </mergeCells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O35"/>
  <sheetViews>
    <sheetView showGridLines="0"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8" customWidth="1" min="1" max="1"/>
    <col width="15" customWidth="1" min="2" max="2"/>
    <col width="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" customWidth="1" min="15" max="15"/>
  </cols>
  <sheetData>
    <row r="1" ht="28" customHeight="1">
      <c r="A1" s="1" t="inlineStr">
        <is>
          <t>Three-Period Binomial Option Pricing — European</t>
        </is>
      </c>
    </row>
    <row r="2">
      <c r="A2" s="7" t="inlineStr">
        <is>
          <t>European call and put valuation using risk-neutral probabilities</t>
        </is>
      </c>
    </row>
    <row r="3"/>
    <row r="4" ht="20" customHeight="1">
      <c r="A4" s="3" t="inlineStr">
        <is>
          <t>Model Inputs</t>
        </is>
      </c>
      <c r="D4" s="3" t="inlineStr">
        <is>
          <t>Call Option Tree</t>
        </is>
      </c>
      <c r="J4" s="3" t="inlineStr">
        <is>
          <t>Put Option Tree</t>
        </is>
      </c>
    </row>
    <row r="5">
      <c r="A5" s="9" t="inlineStr">
        <is>
          <t>Initial stock price</t>
        </is>
      </c>
      <c r="B5" s="10" t="n">
        <v>30</v>
      </c>
      <c r="D5" s="8" t="inlineStr">
        <is>
          <t>Period</t>
        </is>
      </c>
      <c r="E5" s="8" t="inlineStr">
        <is>
          <t>0</t>
        </is>
      </c>
      <c r="F5" s="8" t="inlineStr">
        <is>
          <t>1</t>
        </is>
      </c>
      <c r="G5" s="8" t="inlineStr">
        <is>
          <t>2</t>
        </is>
      </c>
      <c r="H5" s="8" t="inlineStr">
        <is>
          <t>3</t>
        </is>
      </c>
      <c r="J5" s="8" t="inlineStr">
        <is>
          <t>Period</t>
        </is>
      </c>
      <c r="K5" s="8" t="inlineStr">
        <is>
          <t>0</t>
        </is>
      </c>
      <c r="L5" s="8" t="inlineStr">
        <is>
          <t>1</t>
        </is>
      </c>
      <c r="M5" s="8" t="inlineStr">
        <is>
          <t>2</t>
        </is>
      </c>
      <c r="N5" s="8" t="inlineStr">
        <is>
          <t>3</t>
        </is>
      </c>
    </row>
    <row r="6">
      <c r="A6" s="9" t="inlineStr">
        <is>
          <t>Risk-free rate (continuous)</t>
        </is>
      </c>
      <c r="B6" s="12" t="n">
        <v>0.05</v>
      </c>
      <c r="D6" s="8" t="inlineStr">
        <is>
          <t>Time</t>
        </is>
      </c>
      <c r="E6" s="8" t="inlineStr">
        <is>
          <t>0</t>
        </is>
      </c>
      <c r="F6" s="8" t="inlineStr">
        <is>
          <t>1 x dt</t>
        </is>
      </c>
      <c r="G6" s="8" t="inlineStr">
        <is>
          <t>2 x dt</t>
        </is>
      </c>
      <c r="H6" s="8" t="inlineStr">
        <is>
          <t>3 x dt</t>
        </is>
      </c>
      <c r="J6" s="8" t="inlineStr">
        <is>
          <t>Time</t>
        </is>
      </c>
      <c r="K6" s="8" t="inlineStr">
        <is>
          <t>0</t>
        </is>
      </c>
      <c r="L6" s="8" t="inlineStr">
        <is>
          <t>1 x dt</t>
        </is>
      </c>
      <c r="M6" s="8" t="inlineStr">
        <is>
          <t>2 x dt</t>
        </is>
      </c>
      <c r="N6" s="8" t="inlineStr">
        <is>
          <t>3 x dt</t>
        </is>
      </c>
    </row>
    <row r="7">
      <c r="A7" s="9" t="inlineStr">
        <is>
          <t>Dividend yield (continuous)</t>
        </is>
      </c>
      <c r="B7" s="12" t="n">
        <v>0.02</v>
      </c>
      <c r="D7" s="21" t="inlineStr">
        <is>
          <t>Time (yrs)</t>
        </is>
      </c>
      <c r="E7" s="14">
        <f>0*$B$8</f>
        <v/>
      </c>
      <c r="F7" s="14">
        <f>1*$B$8</f>
        <v/>
      </c>
      <c r="G7" s="14">
        <f>2*$B$8</f>
        <v/>
      </c>
      <c r="H7" s="14">
        <f>3*$B$8</f>
        <v/>
      </c>
      <c r="J7" s="21" t="inlineStr">
        <is>
          <t>Time (yrs)</t>
        </is>
      </c>
      <c r="K7" s="14">
        <f>0*$B$8</f>
        <v/>
      </c>
      <c r="L7" s="14">
        <f>1*$B$8</f>
        <v/>
      </c>
      <c r="M7" s="14">
        <f>2*$B$8</f>
        <v/>
      </c>
      <c r="N7" s="14">
        <f>3*$B$8</f>
        <v/>
      </c>
    </row>
    <row r="8">
      <c r="A8" s="9" t="inlineStr">
        <is>
          <t>Period length (years)</t>
        </is>
      </c>
      <c r="B8" s="13" t="n">
        <v>0.5</v>
      </c>
    </row>
    <row r="9">
      <c r="A9" s="9" t="inlineStr">
        <is>
          <t>Up factor</t>
        </is>
      </c>
      <c r="B9" s="13" t="n">
        <v>1.2</v>
      </c>
    </row>
    <row r="10">
      <c r="A10" s="9" t="inlineStr">
        <is>
          <t>Down factor</t>
        </is>
      </c>
      <c r="B10" s="13" t="n">
        <v>0.9</v>
      </c>
    </row>
    <row r="11">
      <c r="A11" s="9" t="inlineStr">
        <is>
          <t>Strike price</t>
        </is>
      </c>
      <c r="B11" s="10" t="n">
        <v>28</v>
      </c>
    </row>
    <row r="12"/>
    <row r="13" ht="20" customHeight="1">
      <c r="A13" s="3" t="inlineStr">
        <is>
          <t>Derived Parameters</t>
        </is>
      </c>
    </row>
    <row r="14">
      <c r="A14" s="9" t="inlineStr">
        <is>
          <t>Risk-free discount factor</t>
        </is>
      </c>
      <c r="B14" s="15">
        <f>EXP(-B6*B8)</f>
        <v/>
      </c>
    </row>
    <row r="15">
      <c r="A15" s="9" t="inlineStr">
        <is>
          <t>Dividend discount factor</t>
        </is>
      </c>
      <c r="B15" s="15">
        <f>EXP(-B7*B8)</f>
        <v/>
      </c>
    </row>
    <row r="16">
      <c r="A16" s="9" t="inlineStr">
        <is>
          <t>Risk-neutral p*</t>
        </is>
      </c>
      <c r="B16" s="15">
        <f>(EXP((B6-B7)*B8)-B9)/(B10-B9)</f>
        <v/>
      </c>
    </row>
    <row r="17">
      <c r="A17" s="9" t="inlineStr">
        <is>
          <t>Risk-neutral q*</t>
        </is>
      </c>
      <c r="B17" s="15">
        <f>1-B16</f>
        <v/>
      </c>
    </row>
    <row r="18"/>
    <row r="19" ht="20" customHeight="1">
      <c r="D19" s="3" t="inlineStr">
        <is>
          <t>Call Nodes (stock / option / delta)</t>
        </is>
      </c>
      <c r="J19" s="3" t="inlineStr">
        <is>
          <t>Put Nodes (stock / option / delta)</t>
        </is>
      </c>
    </row>
    <row r="20"/>
    <row r="21">
      <c r="D21" s="22" t="inlineStr">
        <is>
          <t>Up branch</t>
        </is>
      </c>
      <c r="J21" s="22" t="inlineStr">
        <is>
          <t>Up branch</t>
        </is>
      </c>
    </row>
    <row r="22">
      <c r="D22" s="22" t="inlineStr">
        <is>
          <t>Stock</t>
        </is>
      </c>
      <c r="E22" s="18">
        <f>$B$5</f>
        <v/>
      </c>
      <c r="F22" s="18">
        <f>E22*$B$9</f>
        <v/>
      </c>
      <c r="G22" s="18">
        <f>F22*$B$9</f>
        <v/>
      </c>
      <c r="H22" s="18">
        <f>G22*$B$9</f>
        <v/>
      </c>
      <c r="J22" s="22" t="inlineStr">
        <is>
          <t>Stock</t>
        </is>
      </c>
      <c r="K22" s="18">
        <f>$B$5</f>
        <v/>
      </c>
      <c r="L22" s="18">
        <f>K22*$B$9</f>
        <v/>
      </c>
      <c r="M22" s="18">
        <f>L22*$B$9</f>
        <v/>
      </c>
      <c r="N22" s="18">
        <f>M22*$B$9</f>
        <v/>
      </c>
    </row>
    <row r="23">
      <c r="D23" s="22" t="inlineStr">
        <is>
          <t>Option</t>
        </is>
      </c>
      <c r="E23" s="17">
        <f>($B$16*F23+$B$17*F35)*$B$14</f>
        <v/>
      </c>
      <c r="F23" s="17">
        <f>($B$16*G23+$B$17*G29)*$B$14</f>
        <v/>
      </c>
      <c r="G23" s="17">
        <f>($B$16*H23+$B$17*H27)*$B$14</f>
        <v/>
      </c>
      <c r="H23" s="17">
        <f>MAX(H22-$B$11,0)</f>
        <v/>
      </c>
      <c r="J23" s="22" t="inlineStr">
        <is>
          <t>Option</t>
        </is>
      </c>
      <c r="K23" s="17">
        <f>($B$16*L23+$B$17*L35)*$B$14</f>
        <v/>
      </c>
      <c r="L23" s="17">
        <f>($B$16*M23+$B$17*M29)*$B$14</f>
        <v/>
      </c>
      <c r="M23" s="17">
        <f>($B$16*N23+$B$17*N27)*$B$14</f>
        <v/>
      </c>
      <c r="N23" s="17">
        <f>MAX($B$11-N22,0)</f>
        <v/>
      </c>
    </row>
    <row r="24">
      <c r="D24" s="22" t="inlineStr">
        <is>
          <t>Delta</t>
        </is>
      </c>
      <c r="E24" s="15">
        <f>((F23-F35)/(F22-F34))*$B$15</f>
        <v/>
      </c>
      <c r="F24" s="15">
        <f>((G23-G29)/(G22-G28))*$B$15</f>
        <v/>
      </c>
      <c r="G24" s="15">
        <f>((H23-H27)/(H22-H26))*$B$15</f>
        <v/>
      </c>
      <c r="J24" s="22" t="inlineStr">
        <is>
          <t>Delta</t>
        </is>
      </c>
      <c r="K24" s="15">
        <f>((L23-L35)/(L22-L34))*$B$15</f>
        <v/>
      </c>
      <c r="L24" s="15">
        <f>((M23-M29)/(M22-M28))*$B$15</f>
        <v/>
      </c>
      <c r="M24" s="15">
        <f>((N23-N27)/(N22-N26))*$B$15</f>
        <v/>
      </c>
    </row>
    <row r="25"/>
    <row r="26">
      <c r="H26" s="18">
        <f>G22*$B$10</f>
        <v/>
      </c>
      <c r="N26" s="18">
        <f>M22*$B$10</f>
        <v/>
      </c>
    </row>
    <row r="27">
      <c r="D27" s="22" t="inlineStr">
        <is>
          <t>Middle branch</t>
        </is>
      </c>
      <c r="H27" s="17">
        <f>MAX(H26-$B$11,0)</f>
        <v/>
      </c>
      <c r="J27" s="22" t="inlineStr">
        <is>
          <t>Middle branch</t>
        </is>
      </c>
      <c r="N27" s="17">
        <f>MAX($B$11-N26,0)</f>
        <v/>
      </c>
    </row>
    <row r="28">
      <c r="D28" s="22" t="inlineStr">
        <is>
          <t>Stock</t>
        </is>
      </c>
      <c r="G28" s="18">
        <f>F22*$B$10</f>
        <v/>
      </c>
      <c r="J28" s="22" t="inlineStr">
        <is>
          <t>Stock</t>
        </is>
      </c>
      <c r="M28" s="18">
        <f>L22*$B$10</f>
        <v/>
      </c>
    </row>
    <row r="29">
      <c r="D29" s="22" t="inlineStr">
        <is>
          <t>Option</t>
        </is>
      </c>
      <c r="G29" s="17">
        <f>($B$16*H27+$B$17*H31)*$B$14</f>
        <v/>
      </c>
      <c r="J29" s="22" t="inlineStr">
        <is>
          <t>Option</t>
        </is>
      </c>
      <c r="M29" s="17">
        <f>($B$16*N27+$B$17*N31)*$B$14</f>
        <v/>
      </c>
    </row>
    <row r="30">
      <c r="D30" s="22" t="inlineStr">
        <is>
          <t>Delta</t>
        </is>
      </c>
      <c r="F30" s="15">
        <f>((G29-G35)/(G28-G34))*$B$15</f>
        <v/>
      </c>
      <c r="G30" s="15">
        <f>((H31-H35)/(H30-H34))*$B$15</f>
        <v/>
      </c>
      <c r="H30" s="18">
        <f>G28*$B$10</f>
        <v/>
      </c>
      <c r="J30" s="22" t="inlineStr">
        <is>
          <t>Delta</t>
        </is>
      </c>
      <c r="L30" s="15">
        <f>((M29-M35)/(M28-M34))*$B$15</f>
        <v/>
      </c>
      <c r="M30" s="15">
        <f>((N31-N35)/(N30-N34))*$B$15</f>
        <v/>
      </c>
      <c r="N30" s="18">
        <f>M28*$B$10</f>
        <v/>
      </c>
    </row>
    <row r="31">
      <c r="H31" s="17">
        <f>MAX(H30-$B$11,0)</f>
        <v/>
      </c>
      <c r="N31" s="17">
        <f>MAX($B$11-N30,0)</f>
        <v/>
      </c>
    </row>
    <row r="32"/>
    <row r="33">
      <c r="D33" s="22" t="inlineStr">
        <is>
          <t>Down branch</t>
        </is>
      </c>
      <c r="J33" s="22" t="inlineStr">
        <is>
          <t>Down branch</t>
        </is>
      </c>
    </row>
    <row r="34">
      <c r="D34" s="22" t="inlineStr">
        <is>
          <t>Stock</t>
        </is>
      </c>
      <c r="F34" s="18">
        <f>E22*$B$10</f>
        <v/>
      </c>
      <c r="G34" s="18">
        <f>F34*$B$10</f>
        <v/>
      </c>
      <c r="H34" s="18">
        <f>G34*$B$10</f>
        <v/>
      </c>
      <c r="J34" s="22" t="inlineStr">
        <is>
          <t>Stock</t>
        </is>
      </c>
      <c r="L34" s="18">
        <f>K22*$B$10</f>
        <v/>
      </c>
      <c r="M34" s="18">
        <f>L34*$B$10</f>
        <v/>
      </c>
      <c r="N34" s="18">
        <f>M34*$B$10</f>
        <v/>
      </c>
    </row>
    <row r="35">
      <c r="D35" s="22" t="inlineStr">
        <is>
          <t>Option</t>
        </is>
      </c>
      <c r="F35" s="17">
        <f>($B$16*G29+$B$17*G35)*$B$14</f>
        <v/>
      </c>
      <c r="G35" s="17">
        <f>($B$16*H31+$B$17*H35)*$B$14</f>
        <v/>
      </c>
      <c r="H35" s="17">
        <f>MAX(H34-$B$11,0)</f>
        <v/>
      </c>
      <c r="J35" s="22" t="inlineStr">
        <is>
          <t>Option</t>
        </is>
      </c>
      <c r="L35" s="17">
        <f>($B$16*M29+$B$17*M35)*$B$14</f>
        <v/>
      </c>
      <c r="M35" s="17">
        <f>($B$16*N31+$B$17*N35)*$B$14</f>
        <v/>
      </c>
      <c r="N35" s="17">
        <f>MAX($B$11-N34,0)</f>
        <v/>
      </c>
    </row>
  </sheetData>
  <mergeCells count="8">
    <mergeCell ref="J4:N4"/>
    <mergeCell ref="A13:C13"/>
    <mergeCell ref="A2:O2"/>
    <mergeCell ref="D19:H19"/>
    <mergeCell ref="A1:O1"/>
    <mergeCell ref="J19:N19"/>
    <mergeCell ref="D4:H4"/>
    <mergeCell ref="A4:C4"/>
  </mergeCell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2026-08-23T04:12:58Z</dcterms:created>
  <dcterms:modified xmlns:dcterms="http://purl.org/dc/terms/" xmlns:xsi="http://www.w3.org/2001/XMLSchema-instance" xsi:type="dcterms:W3CDTF">2026-08-23T04:12:58Z</dcterms:modified>
</cp:coreProperties>
</file>